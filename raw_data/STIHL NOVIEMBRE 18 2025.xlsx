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ANTIAS\Desktop\"/>
    </mc:Choice>
  </mc:AlternateContent>
  <xr:revisionPtr revIDLastSave="0" documentId="8_{6C59D172-2BB8-4D18-91BC-055CB58B192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IHL MAQUINAS" sheetId="1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3" l="1"/>
  <c r="B34" i="3"/>
  <c r="A34" i="3"/>
  <c r="C33" i="3"/>
  <c r="B33" i="3"/>
  <c r="A33" i="3"/>
  <c r="C31" i="3"/>
  <c r="B31" i="3"/>
  <c r="A31" i="3"/>
  <c r="C28" i="3"/>
  <c r="A22" i="3"/>
  <c r="C19" i="3"/>
  <c r="B19" i="3"/>
  <c r="A19" i="3"/>
  <c r="C17" i="3"/>
  <c r="B17" i="3"/>
  <c r="A17" i="3"/>
  <c r="C11" i="3"/>
  <c r="C7" i="3"/>
  <c r="B7" i="3"/>
  <c r="A7" i="3"/>
  <c r="C30" i="3"/>
  <c r="A30" i="3" l="1"/>
  <c r="B30" i="3"/>
</calcChain>
</file>

<file path=xl/sharedStrings.xml><?xml version="1.0" encoding="utf-8"?>
<sst xmlns="http://schemas.openxmlformats.org/spreadsheetml/2006/main" count="147" uniqueCount="118">
  <si>
    <t>DESCRIPCIÓN</t>
  </si>
  <si>
    <t>Potente aspiradora de liquidos y solidos con encendido automatico</t>
  </si>
  <si>
    <t>STIHL</t>
  </si>
  <si>
    <t>Peso 5.9 Kg, potencia 4,29 Hp/ 3,2 Kw, tipo cadena 3/8",cilindrada 59,0 cm³</t>
  </si>
  <si>
    <t>Peso 6,2 Kg, potencia 5,23 Hp/ 3,9 Kw, tipo cadena 3/8",cilindrada 72,2 cm³</t>
  </si>
  <si>
    <t xml:space="preserve">Peso 6,3 K, potencia 1,8hp/1,3 K, cilindrada en 30,9 cm³, </t>
  </si>
  <si>
    <t>Aspiradora de liquidos y solidos, Potencia máx.1.400, Peso kg 5,4</t>
  </si>
  <si>
    <t>CREDITO</t>
  </si>
  <si>
    <t>CONTADO</t>
  </si>
  <si>
    <t>MAYORISTA</t>
  </si>
  <si>
    <t>Peso 4,8 Kg, potencia 1,0 Hp/ 0,75 Kw, cilindrada 27,2 cm³,</t>
  </si>
  <si>
    <t>Peso 6 Kg, potencia 6 Hp,espada 15", 18",20" ,cilindrada 72,2 cm³</t>
  </si>
  <si>
    <t xml:space="preserve">Presión de Operación: 2500 PSI Caudal de agua: 520 l/h PESO: 28 Kg. </t>
  </si>
  <si>
    <r>
      <t>Peso de 7.3 Kg, potencia de 2.1 Hp/ 1.55 Kw, cilindrada en 40.2 cm</t>
    </r>
    <r>
      <rPr>
        <sz val="9"/>
        <rFont val="Calibri"/>
        <family val="2"/>
      </rPr>
      <t>³</t>
    </r>
  </si>
  <si>
    <t>Peso de 6,62 Kg, potencia de 2.68 Hp/ 2.0 Kw, cilindrada en 41.6 cm³.</t>
  </si>
  <si>
    <t>Peso 7Kg, potencia 2.14 Hp/ 1.9 Kw, cilindrada 40,2 cm³,  autocut y cuchilla 3 p.</t>
  </si>
  <si>
    <t>Cadena 1/4" ,cubierta protectora, indicador carga,cargador, Bolsa de transporte</t>
  </si>
  <si>
    <t xml:space="preserve">Peso con bateria 3,5 KgGuadaña a bateria para cuidado y borde del cesped, </t>
  </si>
  <si>
    <t>Cilindrada 36,3 cm³, 1,55 KW/2.07 HP, 6,8 Kg. Sistema antivibración</t>
  </si>
  <si>
    <t>Baja intensidad de uso, cilindrada 30 cm³ , potencia 1,74 hp, peso 4,5 km</t>
  </si>
  <si>
    <t>Peso 60kg, 6 HP, cilindarada 212 cm³, Motor 4 T a gasolina, alta intensidad de uso.</t>
  </si>
  <si>
    <t>Peso101kg, 7HP, cilindrada  252 cm³, Motor 4T  a gasolina, alta intensidad de uso.</t>
  </si>
  <si>
    <t>Mochila, intensidad media, presion rociado 6 bar, caudal 1.4 L/min, capacidad 18L.</t>
  </si>
  <si>
    <t xml:space="preserve">PROMO </t>
  </si>
  <si>
    <t xml:space="preserve">Cilindrada 37,7, potencia 1,7 kw/2,27 hp, 12800 RPM, peso 6,92 kg, Mt 2- mix </t>
  </si>
  <si>
    <t>Peso 4.6 Kg, potencia 2,95 Hp/2,2 Kw, tipo cadena, paso .325,cilindrada 45,4 cm³</t>
  </si>
  <si>
    <t>Peso 3.9 Kg, potencia 1,74 Hp/1.3 Kw, tipo cadena 3/8"P, cilindrada 30.1 cm³</t>
  </si>
  <si>
    <t>Peso 3.9 Kg, potencia de 2 Hp/1.5 Kw, tipo cadena 3/8"P,. cilindrada 31.8 cm³</t>
  </si>
  <si>
    <t>Peso 7.4 kg, potencia 7,24 Hp/ 5.4 Kw, tipo cadena 404, cilindrada 91.1 cm³.</t>
  </si>
  <si>
    <t>Poten3.9 Kw,vuelo aire90 m/s,cabida deposito14L, almace 14,5 m, peso12,2 Kg.</t>
  </si>
  <si>
    <t>GA010116911</t>
  </si>
  <si>
    <t>SE33</t>
  </si>
  <si>
    <t>SE62</t>
  </si>
  <si>
    <t>SE010124410</t>
  </si>
  <si>
    <t>RE020114552</t>
  </si>
  <si>
    <t>Peso 7.4 kg, potencia 5.0 kw, Hp 6.70, tipo cadena 404, cilindrada 91.1 cm³.</t>
  </si>
  <si>
    <t xml:space="preserve">MOTOSIERRA </t>
  </si>
  <si>
    <t xml:space="preserve">CODIGO </t>
  </si>
  <si>
    <r>
      <t>Peso11Kg,Potencia 2,07Hp/1,55Kw,cilindrada36.3 cm</t>
    </r>
    <r>
      <rPr>
        <sz val="9"/>
        <rFont val="Calibri"/>
        <family val="2"/>
      </rPr>
      <t>³,</t>
    </r>
    <r>
      <rPr>
        <sz val="9"/>
        <rFont val="Arial"/>
        <family val="2"/>
      </rPr>
      <t xml:space="preserve">guaya flexible </t>
    </r>
  </si>
  <si>
    <t>Peso7,4Kg, poten 1,9 Hp/1,4Kw, cilindrada29,8 cm³, Cortahierbas Ø305-2</t>
  </si>
  <si>
    <r>
      <t>Peso 6,92 Kg, poten 1.7 Hp/ 2.27 Kw, cilindrada 37.7cm</t>
    </r>
    <r>
      <rPr>
        <sz val="9"/>
        <rFont val="Calibri"/>
        <family val="2"/>
      </rPr>
      <t>³, RMP 12800, MT 2-mix</t>
    </r>
  </si>
  <si>
    <t>1119.200.0283</t>
  </si>
  <si>
    <t>4134.200.0326</t>
  </si>
  <si>
    <t>4119.200.0063</t>
  </si>
  <si>
    <t>4147.200.0677</t>
  </si>
  <si>
    <t>4237.011.2940</t>
  </si>
  <si>
    <t xml:space="preserve">GUADAÑA </t>
  </si>
  <si>
    <t xml:space="preserve">FUMIGADORA </t>
  </si>
  <si>
    <t>ASPIRADORA</t>
  </si>
  <si>
    <t xml:space="preserve">CORTASETOS </t>
  </si>
  <si>
    <t>HIDROLAVA</t>
  </si>
  <si>
    <t>MOTOAZADA</t>
  </si>
  <si>
    <r>
      <t>Poten1.07 Hp/0.8Kw,Peso7,9 Kg,</t>
    </r>
    <r>
      <rPr>
        <sz val="9"/>
        <rFont val="Calibri"/>
        <family val="2"/>
      </rPr>
      <t>cilindrada27.2 cm³, capacidad10 Lt, Alcance 9 mts.</t>
    </r>
  </si>
  <si>
    <r>
      <t>Almace 14.5 m,peso12.5 Kg,Potencia3.9 Hp/ 2.9 Kw, capacidad14L, cilin 63.3 cm</t>
    </r>
    <r>
      <rPr>
        <sz val="9"/>
        <rFont val="Calibri"/>
        <family val="2"/>
      </rPr>
      <t>³</t>
    </r>
  </si>
  <si>
    <t>Cilindrada 27,2 cm³,diametro piston34 mm,carrera de piston 30 mm, pote 0,75 Kw.</t>
  </si>
  <si>
    <t>Cilindr 27,2 cm³,poten0,94 Kw,corte 60cms, peso5,5kg, Dist de dientes 38 mm.</t>
  </si>
  <si>
    <t xml:space="preserve">Presión1450PSI,Poten Mt1.5kW,dosificador deterg, manguera alta resistencia </t>
  </si>
  <si>
    <t>Presión1450PSI,Poten Mt1.4 kW,dosificador detergente,manguera alta resistencia.</t>
  </si>
  <si>
    <t>Presión 95 Bar, 120 V, Peso 19,1Kg, dosificador detergente, manguera resistente</t>
  </si>
  <si>
    <t>MH 610</t>
  </si>
  <si>
    <t>GTA 26 10CM</t>
  </si>
  <si>
    <t>MS 162 35CM</t>
  </si>
  <si>
    <t xml:space="preserve">MS 172 40CM </t>
  </si>
  <si>
    <t>MS 182 45CM</t>
  </si>
  <si>
    <t>MS 250 50CM</t>
  </si>
  <si>
    <t>MS 310 63CM</t>
  </si>
  <si>
    <t>MS 382 75CM</t>
  </si>
  <si>
    <t>MS 462 75CM</t>
  </si>
  <si>
    <t>MS 651 90 CM</t>
  </si>
  <si>
    <t>MS 661 90CM</t>
  </si>
  <si>
    <t>FS A57</t>
  </si>
  <si>
    <t>FS 55 R</t>
  </si>
  <si>
    <t>FS 230</t>
  </si>
  <si>
    <t>FS 120</t>
  </si>
  <si>
    <t>FS 120R</t>
  </si>
  <si>
    <t xml:space="preserve">FS 235 </t>
  </si>
  <si>
    <t>FS 235R</t>
  </si>
  <si>
    <t>FS 250</t>
  </si>
  <si>
    <t>FS 160</t>
  </si>
  <si>
    <t>FS 221</t>
  </si>
  <si>
    <t>FR 230</t>
  </si>
  <si>
    <t xml:space="preserve">FR 235 </t>
  </si>
  <si>
    <t>FS 291</t>
  </si>
  <si>
    <t>FS 460</t>
  </si>
  <si>
    <t xml:space="preserve">SG 71 </t>
  </si>
  <si>
    <t>SR 200</t>
  </si>
  <si>
    <t>SR 420</t>
  </si>
  <si>
    <t>SR 440</t>
  </si>
  <si>
    <t>SR 450</t>
  </si>
  <si>
    <t>HS 45</t>
  </si>
  <si>
    <t>HS 82 R</t>
  </si>
  <si>
    <t>RE 110</t>
  </si>
  <si>
    <t>RE 125</t>
  </si>
  <si>
    <t>RB 200</t>
  </si>
  <si>
    <t>RB 400</t>
  </si>
  <si>
    <t>MH 710</t>
  </si>
  <si>
    <t>MAO040115867</t>
  </si>
  <si>
    <t>Motosierra a bateria de baja intesidad de uso voltaje 36v, bateria Ion litio, peso 29k</t>
  </si>
  <si>
    <t>RM 248.3</t>
  </si>
  <si>
    <t>WB210113405</t>
  </si>
  <si>
    <t xml:space="preserve">Cortacesped mediana intensidad, 4T a gasolina, poten 2.8 hp, peso 30kg </t>
  </si>
  <si>
    <t>MSA 60.0</t>
  </si>
  <si>
    <t>MS 363 63 CM</t>
  </si>
  <si>
    <t>FS 161</t>
  </si>
  <si>
    <t>MB012000055</t>
  </si>
  <si>
    <t>41472000676</t>
  </si>
  <si>
    <t>FS 351</t>
  </si>
  <si>
    <t>Alta intensidad de uso, mt 2 mix, 2,01 Hp, cilindraje 37,7 cm³, peso 7, 5 Kg.</t>
  </si>
  <si>
    <t>Alta intensidad de uso, mt 2 mix, 2,27 Hp, cilindraje 37,7 cm³, peso 8,3 Kg.</t>
  </si>
  <si>
    <t>Alta intensidad de uso, cilindada 62.6 cm³, peso 5.5 Kg, 4.69 Hp.</t>
  </si>
  <si>
    <t>SR 430</t>
  </si>
  <si>
    <r>
      <t>Potencia3.35 Hp/ 2.5 Kw, Peso11Kg, Caudal aire 1060 m³</t>
    </r>
    <r>
      <rPr>
        <sz val="9"/>
        <rFont val="Calibri"/>
        <family val="2"/>
      </rPr>
      <t>/h, cilindrada 63.3 cm³.</t>
    </r>
  </si>
  <si>
    <r>
      <t>Potencia2.6 Kw/ 3,49 Kw, Peso11.1Kg, Caudal aire 1260 m³</t>
    </r>
    <r>
      <rPr>
        <sz val="9"/>
        <rFont val="Calibri"/>
        <family val="2"/>
      </rPr>
      <t>/h, cilindrada 56.5 cm³.</t>
    </r>
  </si>
  <si>
    <t>RE 80X</t>
  </si>
  <si>
    <t>RM 253.3</t>
  </si>
  <si>
    <t xml:space="preserve">Cortacesped alta intensidad, 4T a gasolina, poten 2.8 hp, peso 33kg </t>
  </si>
  <si>
    <t>WB220113415</t>
  </si>
  <si>
    <t>NOVIEMBRE 18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</si>
</sst>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_ ;\-#,##0\ "/>
  </numFmts>
  <fonts count="18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8"/>
      <name val="Arial"/>
      <family val="2"/>
    </font>
    <font>
      <b/>
      <sz val="20"/>
      <color rgb="FFFF0000"/>
      <name val="Arial"/>
      <family val="2"/>
    </font>
    <font>
      <b/>
      <sz val="12"/>
      <color rgb="FFFF0000"/>
      <name val="Arial"/>
      <family val="2"/>
    </font>
    <font>
      <b/>
      <sz val="20"/>
      <color rgb="FF00B0F0"/>
      <name val="Arial"/>
      <family val="2"/>
    </font>
    <font>
      <b/>
      <sz val="12"/>
      <color rgb="FF00B0F0"/>
      <name val="Arial"/>
      <family val="2"/>
    </font>
    <font>
      <b/>
      <sz val="10"/>
      <color rgb="FF7030A0"/>
      <name val="Arial"/>
      <family val="2"/>
    </font>
    <font>
      <sz val="9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0" applyFont="1"/>
    <xf numFmtId="164" fontId="4" fillId="0" borderId="0" xfId="1" applyNumberFormat="1" applyFont="1"/>
    <xf numFmtId="0" fontId="1" fillId="0" borderId="0" xfId="0" applyFont="1"/>
    <xf numFmtId="164" fontId="3" fillId="0" borderId="0" xfId="0" applyNumberFormat="1" applyFont="1"/>
    <xf numFmtId="0" fontId="8" fillId="0" borderId="0" xfId="0" applyFont="1" applyAlignment="1">
      <alignment horizontal="center" vertical="center" wrapText="1"/>
    </xf>
    <xf numFmtId="0" fontId="5" fillId="0" borderId="0" xfId="1" applyNumberFormat="1" applyFont="1" applyAlignment="1">
      <alignment horizontal="center" vertical="center"/>
    </xf>
    <xf numFmtId="0" fontId="7" fillId="0" borderId="1" xfId="1" applyNumberFormat="1" applyFont="1" applyFill="1" applyBorder="1" applyAlignment="1">
      <alignment horizontal="left" vertical="center" wrapText="1"/>
    </xf>
    <xf numFmtId="164" fontId="2" fillId="3" borderId="1" xfId="1" applyNumberFormat="1" applyFont="1" applyFill="1" applyBorder="1" applyAlignment="1">
      <alignment horizontal="center" vertical="center" wrapText="1"/>
    </xf>
    <xf numFmtId="0" fontId="7" fillId="0" borderId="1" xfId="1" applyNumberFormat="1" applyFont="1" applyBorder="1" applyAlignment="1">
      <alignment horizontal="justify" vertical="center" wrapText="1"/>
    </xf>
    <xf numFmtId="0" fontId="9" fillId="0" borderId="0" xfId="0" applyFont="1" applyAlignment="1">
      <alignment horizontal="center" wrapText="1"/>
    </xf>
    <xf numFmtId="164" fontId="10" fillId="0" borderId="0" xfId="1" applyNumberFormat="1" applyFont="1"/>
    <xf numFmtId="0" fontId="11" fillId="0" borderId="0" xfId="0" applyFont="1" applyAlignment="1">
      <alignment horizontal="center" wrapText="1"/>
    </xf>
    <xf numFmtId="164" fontId="12" fillId="0" borderId="0" xfId="1" applyNumberFormat="1" applyFont="1"/>
    <xf numFmtId="0" fontId="13" fillId="0" borderId="0" xfId="0" applyFont="1"/>
    <xf numFmtId="164" fontId="13" fillId="0" borderId="0" xfId="0" applyNumberFormat="1" applyFont="1"/>
    <xf numFmtId="0" fontId="7" fillId="0" borderId="0" xfId="1" applyNumberFormat="1" applyFont="1" applyFill="1" applyBorder="1" applyAlignment="1">
      <alignment horizontal="left" wrapText="1"/>
    </xf>
    <xf numFmtId="164" fontId="7" fillId="0" borderId="0" xfId="1" applyNumberFormat="1" applyFont="1" applyBorder="1" applyAlignment="1">
      <alignment horizontal="left" vertical="center" wrapText="1"/>
    </xf>
    <xf numFmtId="0" fontId="7" fillId="0" borderId="1" xfId="1" applyNumberFormat="1" applyFont="1" applyFill="1" applyBorder="1" applyAlignment="1">
      <alignment horizontal="justify" vertical="center" wrapText="1"/>
    </xf>
    <xf numFmtId="0" fontId="7" fillId="0" borderId="1" xfId="1" applyNumberFormat="1" applyFont="1" applyFill="1" applyBorder="1" applyAlignment="1">
      <alignment vertical="center" wrapText="1"/>
    </xf>
    <xf numFmtId="0" fontId="7" fillId="0" borderId="1" xfId="1" applyNumberFormat="1" applyFont="1" applyFill="1" applyBorder="1" applyAlignment="1">
      <alignment horizontal="justify" wrapText="1"/>
    </xf>
    <xf numFmtId="164" fontId="2" fillId="0" borderId="0" xfId="1" applyNumberFormat="1" applyFont="1" applyBorder="1" applyAlignment="1">
      <alignment horizontal="right" vertical="center" wrapText="1"/>
    </xf>
    <xf numFmtId="3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indent="1"/>
    </xf>
    <xf numFmtId="164" fontId="15" fillId="2" borderId="3" xfId="1" applyNumberFormat="1" applyFont="1" applyFill="1" applyBorder="1" applyAlignment="1">
      <alignment horizontal="center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2" xfId="1" applyNumberFormat="1" applyFont="1" applyFill="1" applyBorder="1" applyAlignment="1">
      <alignment horizontal="center" vertical="center" wrapText="1"/>
    </xf>
    <xf numFmtId="164" fontId="15" fillId="3" borderId="1" xfId="1" applyNumberFormat="1" applyFont="1" applyFill="1" applyBorder="1" applyAlignment="1">
      <alignment horizontal="center" vertical="center" wrapText="1"/>
    </xf>
    <xf numFmtId="164" fontId="16" fillId="0" borderId="1" xfId="1" applyNumberFormat="1" applyFont="1" applyFill="1" applyBorder="1" applyAlignment="1">
      <alignment horizontal="right" vertical="center"/>
    </xf>
    <xf numFmtId="164" fontId="16" fillId="0" borderId="1" xfId="0" applyNumberFormat="1" applyFont="1" applyBorder="1" applyAlignment="1">
      <alignment horizontal="right" vertical="center"/>
    </xf>
    <xf numFmtId="165" fontId="16" fillId="0" borderId="1" xfId="1" applyNumberFormat="1" applyFont="1" applyFill="1" applyBorder="1" applyAlignment="1">
      <alignment horizontal="right" vertical="center" wrapText="1"/>
    </xf>
    <xf numFmtId="2" fontId="1" fillId="0" borderId="1" xfId="0" applyNumberFormat="1" applyFont="1" applyFill="1" applyBorder="1" applyAlignment="1">
      <alignment horizontal="right"/>
    </xf>
    <xf numFmtId="49" fontId="1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1" fontId="3" fillId="0" borderId="1" xfId="0" applyNumberFormat="1" applyFont="1" applyFill="1" applyBorder="1" applyAlignment="1">
      <alignment horizontal="right"/>
    </xf>
    <xf numFmtId="0" fontId="3" fillId="0" borderId="1" xfId="0" applyFont="1" applyBorder="1" applyAlignment="1"/>
    <xf numFmtId="0" fontId="1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6" fillId="0" borderId="1" xfId="1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3" fillId="0" borderId="0" xfId="0" applyFont="1" applyBorder="1"/>
    <xf numFmtId="0" fontId="3" fillId="0" borderId="0" xfId="0" applyFont="1" applyBorder="1" applyAlignment="1">
      <alignment horizontal="right" indent="1"/>
    </xf>
    <xf numFmtId="0" fontId="7" fillId="0" borderId="1" xfId="0" applyFont="1" applyFill="1" applyBorder="1" applyAlignment="1">
      <alignment horizontal="left" vertical="center" wrapText="1"/>
    </xf>
    <xf numFmtId="3" fontId="16" fillId="0" borderId="1" xfId="0" applyNumberFormat="1" applyFont="1" applyFill="1" applyBorder="1" applyAlignment="1">
      <alignment horizontal="right" vertical="center"/>
    </xf>
    <xf numFmtId="164" fontId="16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justify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1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justify" vertical="center"/>
    </xf>
    <xf numFmtId="0" fontId="3" fillId="0" borderId="1" xfId="0" applyFont="1" applyFill="1" applyBorder="1" applyAlignment="1"/>
    <xf numFmtId="0" fontId="3" fillId="0" borderId="0" xfId="0" applyFont="1" applyFill="1" applyBorder="1"/>
    <xf numFmtId="0" fontId="3" fillId="0" borderId="0" xfId="0" applyFont="1" applyFill="1" applyBorder="1" applyAlignment="1">
      <alignment horizontal="right" indent="1"/>
    </xf>
    <xf numFmtId="164" fontId="7" fillId="0" borderId="0" xfId="1" applyNumberFormat="1" applyFont="1" applyFill="1" applyBorder="1" applyAlignment="1">
      <alignment wrapText="1"/>
    </xf>
    <xf numFmtId="164" fontId="2" fillId="0" borderId="0" xfId="0" applyNumberFormat="1" applyFont="1" applyFill="1" applyBorder="1" applyAlignment="1">
      <alignment horizontal="right" vertical="center"/>
    </xf>
    <xf numFmtId="3" fontId="2" fillId="0" borderId="0" xfId="0" applyNumberFormat="1" applyFont="1" applyFill="1" applyBorder="1" applyAlignment="1">
      <alignment horizontal="right" vertical="center"/>
    </xf>
    <xf numFmtId="164" fontId="15" fillId="2" borderId="1" xfId="1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7" fillId="0" borderId="0" xfId="1" applyNumberFormat="1" applyFont="1" applyBorder="1" applyAlignment="1">
      <alignment horizontal="justify" vertical="center" wrapText="1"/>
    </xf>
    <xf numFmtId="164" fontId="2" fillId="0" borderId="0" xfId="0" applyNumberFormat="1" applyFont="1" applyBorder="1" applyAlignment="1">
      <alignment horizontal="right" vertical="center"/>
    </xf>
    <xf numFmtId="3" fontId="2" fillId="0" borderId="0" xfId="0" applyNumberFormat="1" applyFont="1" applyBorder="1" applyAlignment="1">
      <alignment horizontal="right" vertical="center"/>
    </xf>
    <xf numFmtId="164" fontId="7" fillId="0" borderId="0" xfId="1" applyNumberFormat="1" applyFont="1" applyFill="1" applyBorder="1" applyAlignment="1">
      <alignment horizontal="left" vertical="center" wrapText="1"/>
    </xf>
    <xf numFmtId="164" fontId="4" fillId="0" borderId="0" xfId="1" applyNumberFormat="1" applyFont="1" applyBorder="1"/>
    <xf numFmtId="164" fontId="10" fillId="0" borderId="0" xfId="1" applyNumberFormat="1" applyFont="1" applyBorder="1"/>
    <xf numFmtId="164" fontId="12" fillId="0" borderId="0" xfId="1" applyNumberFormat="1" applyFont="1" applyBorder="1"/>
    <xf numFmtId="164" fontId="2" fillId="0" borderId="0" xfId="0" applyNumberFormat="1" applyFont="1" applyBorder="1" applyAlignment="1">
      <alignment horizontal="right"/>
    </xf>
    <xf numFmtId="3" fontId="2" fillId="0" borderId="0" xfId="0" applyNumberFormat="1" applyFont="1" applyBorder="1" applyAlignment="1">
      <alignment horizontal="right"/>
    </xf>
    <xf numFmtId="17" fontId="17" fillId="0" borderId="0" xfId="0" applyNumberFormat="1" applyFont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19050</xdr:rowOff>
    </xdr:from>
    <xdr:to>
      <xdr:col>2</xdr:col>
      <xdr:colOff>447675</xdr:colOff>
      <xdr:row>1</xdr:row>
      <xdr:rowOff>222325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7FC3FB-82B7-4A6E-AF72-7B7234F19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9050"/>
          <a:ext cx="1152525" cy="431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topLeftCell="B1" zoomScaleNormal="100" workbookViewId="0">
      <selection activeCell="J14" sqref="J14"/>
    </sheetView>
  </sheetViews>
  <sheetFormatPr baseColWidth="10" defaultColWidth="11.42578125" defaultRowHeight="15.75" x14ac:dyDescent="0.25"/>
  <cols>
    <col min="1" max="1" width="2.5703125" style="1" hidden="1" customWidth="1"/>
    <col min="2" max="2" width="14" style="1" customWidth="1"/>
    <col min="3" max="3" width="14" style="23" customWidth="1"/>
    <col min="4" max="4" width="65.85546875" style="2" customWidth="1"/>
    <col min="5" max="5" width="11.5703125" style="11" bestFit="1" customWidth="1"/>
    <col min="6" max="6" width="10.140625" style="13" bestFit="1" customWidth="1"/>
    <col min="7" max="16384" width="11.42578125" style="1"/>
  </cols>
  <sheetData>
    <row r="1" spans="2:6" ht="18" customHeight="1" x14ac:dyDescent="0.25">
      <c r="D1" s="6" t="s">
        <v>2</v>
      </c>
    </row>
    <row r="2" spans="2:6" ht="18.75" customHeight="1" x14ac:dyDescent="0.4">
      <c r="D2" s="70" t="s">
        <v>117</v>
      </c>
      <c r="E2" s="10"/>
      <c r="F2" s="12"/>
    </row>
    <row r="3" spans="2:6" ht="3.75" customHeight="1" x14ac:dyDescent="0.4">
      <c r="D3" s="5"/>
      <c r="E3" s="10"/>
      <c r="F3" s="12"/>
    </row>
    <row r="4" spans="2:6" ht="11.25" customHeight="1" x14ac:dyDescent="0.2">
      <c r="B4" s="25" t="s">
        <v>36</v>
      </c>
      <c r="C4" s="8" t="s">
        <v>37</v>
      </c>
      <c r="D4" s="8" t="s">
        <v>0</v>
      </c>
      <c r="E4" s="27" t="s">
        <v>8</v>
      </c>
      <c r="F4" s="26" t="s">
        <v>23</v>
      </c>
    </row>
    <row r="5" spans="2:6" ht="14.25" customHeight="1" x14ac:dyDescent="0.2">
      <c r="B5" s="39" t="s">
        <v>60</v>
      </c>
      <c r="C5" s="31" t="s">
        <v>30</v>
      </c>
      <c r="D5" s="46" t="s">
        <v>16</v>
      </c>
      <c r="E5" s="28">
        <v>1065000</v>
      </c>
      <c r="F5" s="47">
        <v>910000</v>
      </c>
    </row>
    <row r="6" spans="2:6" ht="14.25" customHeight="1" x14ac:dyDescent="0.2">
      <c r="B6" s="39" t="s">
        <v>61</v>
      </c>
      <c r="C6" s="33">
        <v>11482000270</v>
      </c>
      <c r="D6" s="7" t="s">
        <v>19</v>
      </c>
      <c r="E6" s="48">
        <v>840000</v>
      </c>
      <c r="F6" s="47">
        <v>715000</v>
      </c>
    </row>
    <row r="7" spans="2:6" ht="14.25" customHeight="1" x14ac:dyDescent="0.2">
      <c r="B7" s="39" t="s">
        <v>62</v>
      </c>
      <c r="C7" s="33">
        <v>11482000273</v>
      </c>
      <c r="D7" s="7" t="s">
        <v>26</v>
      </c>
      <c r="E7" s="48">
        <v>1005000</v>
      </c>
      <c r="F7" s="47">
        <v>860000</v>
      </c>
    </row>
    <row r="8" spans="2:6" ht="14.25" customHeight="1" x14ac:dyDescent="0.2">
      <c r="B8" s="39" t="s">
        <v>63</v>
      </c>
      <c r="C8" s="34">
        <v>11482000305</v>
      </c>
      <c r="D8" s="7" t="s">
        <v>27</v>
      </c>
      <c r="E8" s="48">
        <v>1175000</v>
      </c>
      <c r="F8" s="47">
        <v>1005000</v>
      </c>
    </row>
    <row r="9" spans="2:6" ht="14.25" customHeight="1" x14ac:dyDescent="0.2">
      <c r="B9" s="39" t="s">
        <v>101</v>
      </c>
      <c r="C9" s="34" t="s">
        <v>96</v>
      </c>
      <c r="D9" s="7" t="s">
        <v>97</v>
      </c>
      <c r="E9" s="48">
        <v>1705000</v>
      </c>
      <c r="F9" s="47">
        <v>1460000</v>
      </c>
    </row>
    <row r="10" spans="2:6" ht="14.25" customHeight="1" x14ac:dyDescent="0.2">
      <c r="B10" s="49" t="s">
        <v>64</v>
      </c>
      <c r="C10" s="34">
        <v>11232000842</v>
      </c>
      <c r="D10" s="7" t="s">
        <v>25</v>
      </c>
      <c r="E10" s="48">
        <v>1805000</v>
      </c>
      <c r="F10" s="47">
        <v>1540000</v>
      </c>
    </row>
    <row r="11" spans="2:6" ht="14.25" customHeight="1" x14ac:dyDescent="0.2">
      <c r="B11" s="49" t="s">
        <v>65</v>
      </c>
      <c r="C11" s="34">
        <v>11272000385</v>
      </c>
      <c r="D11" s="7" t="s">
        <v>3</v>
      </c>
      <c r="E11" s="48">
        <v>2535000</v>
      </c>
      <c r="F11" s="47">
        <v>2165000</v>
      </c>
    </row>
    <row r="12" spans="2:6" ht="14.25" customHeight="1" x14ac:dyDescent="0.2">
      <c r="B12" s="49" t="s">
        <v>102</v>
      </c>
      <c r="C12" s="34" t="s">
        <v>104</v>
      </c>
      <c r="D12" s="7" t="s">
        <v>109</v>
      </c>
      <c r="E12" s="48">
        <v>2955000</v>
      </c>
      <c r="F12" s="47">
        <v>2525000</v>
      </c>
    </row>
    <row r="13" spans="2:6" ht="14.25" customHeight="1" x14ac:dyDescent="0.2">
      <c r="B13" s="50" t="s">
        <v>66</v>
      </c>
      <c r="C13" s="32" t="s">
        <v>41</v>
      </c>
      <c r="D13" s="7" t="s">
        <v>4</v>
      </c>
      <c r="E13" s="48">
        <v>3285000</v>
      </c>
      <c r="F13" s="47">
        <v>2805000</v>
      </c>
    </row>
    <row r="14" spans="2:6" ht="14.25" customHeight="1" x14ac:dyDescent="0.2">
      <c r="B14" s="50" t="s">
        <v>67</v>
      </c>
      <c r="C14" s="34">
        <v>11422000166</v>
      </c>
      <c r="D14" s="7" t="s">
        <v>11</v>
      </c>
      <c r="E14" s="48">
        <v>4285000</v>
      </c>
      <c r="F14" s="47">
        <v>3655000</v>
      </c>
    </row>
    <row r="15" spans="2:6" ht="14.25" customHeight="1" x14ac:dyDescent="0.2">
      <c r="B15" s="50" t="s">
        <v>68</v>
      </c>
      <c r="C15" s="34">
        <v>11442000356</v>
      </c>
      <c r="D15" s="7" t="s">
        <v>35</v>
      </c>
      <c r="E15" s="48">
        <v>4370000</v>
      </c>
      <c r="F15" s="47">
        <v>3730000</v>
      </c>
    </row>
    <row r="16" spans="2:6" ht="14.25" customHeight="1" x14ac:dyDescent="0.2">
      <c r="B16" s="49" t="s">
        <v>69</v>
      </c>
      <c r="C16" s="34">
        <v>11442000349</v>
      </c>
      <c r="D16" s="7" t="s">
        <v>28</v>
      </c>
      <c r="E16" s="48">
        <v>4795000</v>
      </c>
      <c r="F16" s="47">
        <v>4095000</v>
      </c>
    </row>
    <row r="17" spans="2:6" ht="8.25" customHeight="1" x14ac:dyDescent="0.25">
      <c r="B17" s="44"/>
      <c r="C17" s="45"/>
      <c r="D17" s="16"/>
      <c r="E17" s="68"/>
      <c r="F17" s="69"/>
    </row>
    <row r="18" spans="2:6" ht="12" customHeight="1" x14ac:dyDescent="0.2">
      <c r="B18" s="59" t="s">
        <v>46</v>
      </c>
      <c r="C18" s="8" t="s">
        <v>37</v>
      </c>
      <c r="D18" s="8" t="s">
        <v>0</v>
      </c>
      <c r="E18" s="27" t="s">
        <v>8</v>
      </c>
      <c r="F18" s="59" t="s">
        <v>23</v>
      </c>
    </row>
    <row r="19" spans="2:6" ht="14.25" customHeight="1" x14ac:dyDescent="0.2">
      <c r="B19" s="50" t="s">
        <v>70</v>
      </c>
      <c r="C19" s="33">
        <v>45220115771</v>
      </c>
      <c r="D19" s="46" t="s">
        <v>17</v>
      </c>
      <c r="E19" s="28">
        <v>1430000</v>
      </c>
      <c r="F19" s="47">
        <v>1220000</v>
      </c>
    </row>
    <row r="20" spans="2:6" ht="14.25" customHeight="1" x14ac:dyDescent="0.2">
      <c r="B20" s="49" t="s">
        <v>71</v>
      </c>
      <c r="C20" s="33">
        <v>41402000585</v>
      </c>
      <c r="D20" s="51" t="s">
        <v>10</v>
      </c>
      <c r="E20" s="48">
        <v>1000000</v>
      </c>
      <c r="F20" s="47">
        <v>855000</v>
      </c>
    </row>
    <row r="21" spans="2:6" ht="14.25" customHeight="1" x14ac:dyDescent="0.2">
      <c r="B21" s="49" t="s">
        <v>72</v>
      </c>
      <c r="C21" s="33">
        <v>41512000038</v>
      </c>
      <c r="D21" s="7" t="s">
        <v>13</v>
      </c>
      <c r="E21" s="48">
        <v>1245000</v>
      </c>
      <c r="F21" s="47">
        <v>1065000</v>
      </c>
    </row>
    <row r="22" spans="2:6" ht="14.25" customHeight="1" x14ac:dyDescent="0.2">
      <c r="B22" s="49" t="s">
        <v>73</v>
      </c>
      <c r="C22" s="32" t="s">
        <v>42</v>
      </c>
      <c r="D22" s="7" t="s">
        <v>5</v>
      </c>
      <c r="E22" s="48">
        <v>1715000</v>
      </c>
      <c r="F22" s="47">
        <v>1465000</v>
      </c>
    </row>
    <row r="23" spans="2:6" ht="14.25" customHeight="1" x14ac:dyDescent="0.2">
      <c r="B23" s="49" t="s">
        <v>74</v>
      </c>
      <c r="C23" s="33">
        <v>41342000346</v>
      </c>
      <c r="D23" s="7" t="s">
        <v>5</v>
      </c>
      <c r="E23" s="48">
        <v>1715000</v>
      </c>
      <c r="F23" s="47">
        <v>1465000</v>
      </c>
    </row>
    <row r="24" spans="2:6" ht="14.25" customHeight="1" x14ac:dyDescent="0.2">
      <c r="B24" s="50" t="s">
        <v>75</v>
      </c>
      <c r="C24" s="33">
        <v>41512000037</v>
      </c>
      <c r="D24" s="46" t="s">
        <v>18</v>
      </c>
      <c r="E24" s="48">
        <v>1920000</v>
      </c>
      <c r="F24" s="47">
        <v>1640000</v>
      </c>
    </row>
    <row r="25" spans="2:6" ht="14.25" customHeight="1" x14ac:dyDescent="0.2">
      <c r="B25" s="50" t="s">
        <v>76</v>
      </c>
      <c r="C25" s="33">
        <v>41512000045</v>
      </c>
      <c r="D25" s="46" t="s">
        <v>18</v>
      </c>
      <c r="E25" s="48">
        <v>1920000</v>
      </c>
      <c r="F25" s="47">
        <v>1640000</v>
      </c>
    </row>
    <row r="26" spans="2:6" ht="14.25" customHeight="1" x14ac:dyDescent="0.2">
      <c r="B26" s="50" t="s">
        <v>77</v>
      </c>
      <c r="C26" s="33">
        <v>41342000442</v>
      </c>
      <c r="D26" s="7" t="s">
        <v>15</v>
      </c>
      <c r="E26" s="48">
        <v>2120000</v>
      </c>
      <c r="F26" s="47">
        <v>1810000</v>
      </c>
    </row>
    <row r="27" spans="2:6" ht="14.25" customHeight="1" x14ac:dyDescent="0.2">
      <c r="B27" s="49" t="s">
        <v>78</v>
      </c>
      <c r="C27" s="32" t="s">
        <v>43</v>
      </c>
      <c r="D27" s="7" t="s">
        <v>39</v>
      </c>
      <c r="E27" s="48">
        <v>2190000</v>
      </c>
      <c r="F27" s="47">
        <v>1870000</v>
      </c>
    </row>
    <row r="28" spans="2:6" ht="14.25" customHeight="1" x14ac:dyDescent="0.2">
      <c r="B28" s="49" t="s">
        <v>103</v>
      </c>
      <c r="C28" s="32" t="s">
        <v>105</v>
      </c>
      <c r="D28" s="7" t="s">
        <v>107</v>
      </c>
      <c r="E28" s="48">
        <v>2280000</v>
      </c>
      <c r="F28" s="47">
        <v>1945000</v>
      </c>
    </row>
    <row r="29" spans="2:6" ht="14.25" customHeight="1" x14ac:dyDescent="0.2">
      <c r="B29" s="49" t="s">
        <v>79</v>
      </c>
      <c r="C29" s="32" t="s">
        <v>44</v>
      </c>
      <c r="D29" s="7" t="s">
        <v>40</v>
      </c>
      <c r="E29" s="48">
        <v>2355000</v>
      </c>
      <c r="F29" s="47">
        <v>2010000</v>
      </c>
    </row>
    <row r="30" spans="2:6" ht="14.25" customHeight="1" x14ac:dyDescent="0.2">
      <c r="B30" s="50" t="s">
        <v>82</v>
      </c>
      <c r="C30" s="33">
        <v>41472000678</v>
      </c>
      <c r="D30" s="7" t="s">
        <v>14</v>
      </c>
      <c r="E30" s="48">
        <v>2495000</v>
      </c>
      <c r="F30" s="47">
        <v>2130000</v>
      </c>
    </row>
    <row r="31" spans="2:6" ht="14.25" customHeight="1" x14ac:dyDescent="0.2">
      <c r="B31" s="50" t="s">
        <v>106</v>
      </c>
      <c r="C31" s="33">
        <v>41472000680</v>
      </c>
      <c r="D31" s="7" t="s">
        <v>108</v>
      </c>
      <c r="E31" s="48">
        <v>2715000</v>
      </c>
      <c r="F31" s="47">
        <v>2315000</v>
      </c>
    </row>
    <row r="32" spans="2:6" ht="14.25" customHeight="1" x14ac:dyDescent="0.2">
      <c r="B32" s="50" t="s">
        <v>83</v>
      </c>
      <c r="C32" s="35">
        <v>41472000679</v>
      </c>
      <c r="D32" s="7" t="s">
        <v>14</v>
      </c>
      <c r="E32" s="48">
        <v>3750000</v>
      </c>
      <c r="F32" s="47">
        <v>3200000</v>
      </c>
    </row>
    <row r="33" spans="2:6" ht="14.25" customHeight="1" x14ac:dyDescent="0.2">
      <c r="B33" s="49" t="s">
        <v>80</v>
      </c>
      <c r="C33" s="33">
        <v>41512000043</v>
      </c>
      <c r="D33" s="7" t="s">
        <v>13</v>
      </c>
      <c r="E33" s="48">
        <v>1400000</v>
      </c>
      <c r="F33" s="47">
        <v>1195000</v>
      </c>
    </row>
    <row r="34" spans="2:6" ht="16.5" customHeight="1" x14ac:dyDescent="0.2">
      <c r="B34" s="52" t="s">
        <v>81</v>
      </c>
      <c r="C34" s="33">
        <v>41512000032</v>
      </c>
      <c r="D34" s="7" t="s">
        <v>38</v>
      </c>
      <c r="E34" s="28">
        <v>2420000</v>
      </c>
      <c r="F34" s="47">
        <v>2065000</v>
      </c>
    </row>
    <row r="35" spans="2:6" ht="6" customHeight="1" x14ac:dyDescent="0.2">
      <c r="B35" s="44"/>
      <c r="C35" s="45"/>
      <c r="D35" s="17"/>
      <c r="E35" s="21"/>
      <c r="F35" s="22"/>
    </row>
    <row r="36" spans="2:6" ht="11.25" customHeight="1" x14ac:dyDescent="0.2">
      <c r="B36" s="24" t="s">
        <v>47</v>
      </c>
      <c r="C36" s="8" t="s">
        <v>37</v>
      </c>
      <c r="D36" s="8" t="s">
        <v>0</v>
      </c>
      <c r="E36" s="27" t="s">
        <v>8</v>
      </c>
      <c r="F36" s="26" t="s">
        <v>23</v>
      </c>
    </row>
    <row r="37" spans="2:6" ht="14.25" customHeight="1" x14ac:dyDescent="0.2">
      <c r="B37" s="52" t="s">
        <v>84</v>
      </c>
      <c r="C37" s="53">
        <v>42550194972</v>
      </c>
      <c r="D37" s="19" t="s">
        <v>22</v>
      </c>
      <c r="E37" s="28">
        <v>510000</v>
      </c>
      <c r="F37" s="47">
        <v>440000</v>
      </c>
    </row>
    <row r="38" spans="2:6" ht="14.25" customHeight="1" x14ac:dyDescent="0.2">
      <c r="B38" s="49" t="s">
        <v>85</v>
      </c>
      <c r="C38" s="53">
        <v>42410112604</v>
      </c>
      <c r="D38" s="19" t="s">
        <v>52</v>
      </c>
      <c r="E38" s="48">
        <v>2425000</v>
      </c>
      <c r="F38" s="47">
        <v>2070000</v>
      </c>
    </row>
    <row r="39" spans="2:6" ht="14.25" customHeight="1" x14ac:dyDescent="0.2">
      <c r="B39" s="49" t="s">
        <v>86</v>
      </c>
      <c r="C39" s="53">
        <v>42030112619</v>
      </c>
      <c r="D39" s="19" t="s">
        <v>112</v>
      </c>
      <c r="E39" s="48">
        <v>2700000</v>
      </c>
      <c r="F39" s="47">
        <v>2305000</v>
      </c>
    </row>
    <row r="40" spans="2:6" ht="14.25" customHeight="1" x14ac:dyDescent="0.2">
      <c r="B40" s="49" t="s">
        <v>110</v>
      </c>
      <c r="C40" s="53">
        <v>42440112624</v>
      </c>
      <c r="D40" s="19" t="s">
        <v>111</v>
      </c>
      <c r="E40" s="48">
        <v>2765000</v>
      </c>
      <c r="F40" s="47">
        <v>2360000</v>
      </c>
    </row>
    <row r="41" spans="2:6" ht="14.25" customHeight="1" x14ac:dyDescent="0.2">
      <c r="B41" s="49" t="s">
        <v>87</v>
      </c>
      <c r="C41" s="53">
        <v>42440112630</v>
      </c>
      <c r="D41" s="19" t="s">
        <v>29</v>
      </c>
      <c r="E41" s="48">
        <v>2930000</v>
      </c>
      <c r="F41" s="47">
        <v>2500000</v>
      </c>
    </row>
    <row r="42" spans="2:6" ht="14.25" customHeight="1" x14ac:dyDescent="0.2">
      <c r="B42" s="49" t="s">
        <v>88</v>
      </c>
      <c r="C42" s="53">
        <v>42440112663</v>
      </c>
      <c r="D42" s="19" t="s">
        <v>53</v>
      </c>
      <c r="E42" s="48">
        <v>3110000</v>
      </c>
      <c r="F42" s="47">
        <v>2655000</v>
      </c>
    </row>
    <row r="43" spans="2:6" ht="8.25" customHeight="1" x14ac:dyDescent="0.2">
      <c r="B43" s="54"/>
      <c r="C43" s="55"/>
      <c r="D43" s="56"/>
      <c r="E43" s="57"/>
      <c r="F43" s="58"/>
    </row>
    <row r="44" spans="2:6" ht="11.25" customHeight="1" x14ac:dyDescent="0.2">
      <c r="B44" s="59" t="s">
        <v>48</v>
      </c>
      <c r="C44" s="8" t="s">
        <v>37</v>
      </c>
      <c r="D44" s="8" t="s">
        <v>0</v>
      </c>
      <c r="E44" s="27" t="s">
        <v>8</v>
      </c>
      <c r="F44" s="59" t="s">
        <v>23</v>
      </c>
    </row>
    <row r="45" spans="2:6" ht="14.25" customHeight="1" x14ac:dyDescent="0.2">
      <c r="B45" s="41" t="s">
        <v>31</v>
      </c>
      <c r="C45" s="37" t="s">
        <v>33</v>
      </c>
      <c r="D45" s="9" t="s">
        <v>6</v>
      </c>
      <c r="E45" s="29">
        <v>595000</v>
      </c>
      <c r="F45" s="47">
        <v>510000</v>
      </c>
    </row>
    <row r="46" spans="2:6" ht="14.25" customHeight="1" x14ac:dyDescent="0.2">
      <c r="B46" s="41" t="s">
        <v>32</v>
      </c>
      <c r="C46" s="36">
        <v>47840124406</v>
      </c>
      <c r="D46" s="9" t="s">
        <v>1</v>
      </c>
      <c r="E46" s="29">
        <v>1115000</v>
      </c>
      <c r="F46" s="47">
        <v>955000</v>
      </c>
    </row>
    <row r="47" spans="2:6" ht="10.5" customHeight="1" x14ac:dyDescent="0.2">
      <c r="B47" s="60"/>
      <c r="C47" s="45"/>
      <c r="D47" s="61"/>
      <c r="E47" s="62"/>
      <c r="F47" s="63"/>
    </row>
    <row r="48" spans="2:6" ht="15" customHeight="1" x14ac:dyDescent="0.2">
      <c r="B48" s="59" t="s">
        <v>49</v>
      </c>
      <c r="C48" s="8" t="s">
        <v>37</v>
      </c>
      <c r="D48" s="8" t="s">
        <v>0</v>
      </c>
      <c r="E48" s="27" t="s">
        <v>8</v>
      </c>
      <c r="F48" s="59" t="s">
        <v>23</v>
      </c>
    </row>
    <row r="49" spans="2:6" ht="14.25" customHeight="1" x14ac:dyDescent="0.2">
      <c r="B49" s="40" t="s">
        <v>89</v>
      </c>
      <c r="C49" s="33">
        <v>42280112938</v>
      </c>
      <c r="D49" s="7" t="s">
        <v>54</v>
      </c>
      <c r="E49" s="29">
        <v>1360000</v>
      </c>
      <c r="F49" s="47">
        <v>1160000</v>
      </c>
    </row>
    <row r="50" spans="2:6" ht="14.25" customHeight="1" x14ac:dyDescent="0.2">
      <c r="B50" s="40" t="s">
        <v>90</v>
      </c>
      <c r="C50" s="32" t="s">
        <v>45</v>
      </c>
      <c r="D50" s="7" t="s">
        <v>55</v>
      </c>
      <c r="E50" s="29">
        <v>3175000</v>
      </c>
      <c r="F50" s="47">
        <v>2710000</v>
      </c>
    </row>
    <row r="51" spans="2:6" ht="9.75" customHeight="1" x14ac:dyDescent="0.2">
      <c r="B51" s="44"/>
      <c r="C51" s="45"/>
      <c r="D51" s="64"/>
      <c r="E51" s="62"/>
      <c r="F51" s="63"/>
    </row>
    <row r="52" spans="2:6" ht="11.25" customHeight="1" x14ac:dyDescent="0.2">
      <c r="B52" s="59" t="s">
        <v>50</v>
      </c>
      <c r="C52" s="8" t="s">
        <v>37</v>
      </c>
      <c r="D52" s="8" t="s">
        <v>0</v>
      </c>
      <c r="E52" s="27" t="s">
        <v>8</v>
      </c>
      <c r="F52" s="59" t="s">
        <v>23</v>
      </c>
    </row>
    <row r="53" spans="2:6" ht="14.25" customHeight="1" x14ac:dyDescent="0.2">
      <c r="B53" s="40" t="s">
        <v>113</v>
      </c>
      <c r="C53" s="37" t="s">
        <v>34</v>
      </c>
      <c r="D53" s="18" t="s">
        <v>56</v>
      </c>
      <c r="E53" s="29">
        <v>700000</v>
      </c>
      <c r="F53" s="47">
        <v>595000</v>
      </c>
    </row>
    <row r="54" spans="2:6" ht="14.25" customHeight="1" x14ac:dyDescent="0.2">
      <c r="B54" s="41" t="s">
        <v>91</v>
      </c>
      <c r="C54" s="38">
        <v>49500124526</v>
      </c>
      <c r="D54" s="18" t="s">
        <v>57</v>
      </c>
      <c r="E54" s="29">
        <v>1455000</v>
      </c>
      <c r="F54" s="47">
        <v>1245000</v>
      </c>
    </row>
    <row r="55" spans="2:6" ht="14.25" customHeight="1" x14ac:dyDescent="0.2">
      <c r="B55" s="41" t="s">
        <v>92</v>
      </c>
      <c r="C55" s="38">
        <v>49500114597</v>
      </c>
      <c r="D55" s="9" t="s">
        <v>58</v>
      </c>
      <c r="E55" s="29">
        <v>1510000</v>
      </c>
      <c r="F55" s="47">
        <v>1290000</v>
      </c>
    </row>
    <row r="56" spans="2:6" ht="14.25" customHeight="1" x14ac:dyDescent="0.2">
      <c r="B56" s="42" t="s">
        <v>93</v>
      </c>
      <c r="C56" s="38">
        <v>47890124609</v>
      </c>
      <c r="D56" s="43" t="s">
        <v>12</v>
      </c>
      <c r="E56" s="29">
        <v>3975000</v>
      </c>
      <c r="F56" s="47">
        <v>3395000</v>
      </c>
    </row>
    <row r="57" spans="2:6" ht="14.25" customHeight="1" x14ac:dyDescent="0.2">
      <c r="B57" s="42" t="s">
        <v>94</v>
      </c>
      <c r="C57" s="38">
        <v>47900124603</v>
      </c>
      <c r="D57" s="43" t="s">
        <v>24</v>
      </c>
      <c r="E57" s="29">
        <v>5275000</v>
      </c>
      <c r="F57" s="47">
        <v>4505000</v>
      </c>
    </row>
    <row r="58" spans="2:6" ht="9" customHeight="1" x14ac:dyDescent="0.25">
      <c r="B58" s="44"/>
      <c r="C58" s="45"/>
      <c r="D58" s="65"/>
      <c r="E58" s="66"/>
      <c r="F58" s="67"/>
    </row>
    <row r="59" spans="2:6" ht="12" customHeight="1" x14ac:dyDescent="0.2">
      <c r="B59" s="59" t="s">
        <v>51</v>
      </c>
      <c r="C59" s="8" t="s">
        <v>37</v>
      </c>
      <c r="D59" s="8" t="s">
        <v>0</v>
      </c>
      <c r="E59" s="27" t="s">
        <v>8</v>
      </c>
      <c r="F59" s="59" t="s">
        <v>23</v>
      </c>
    </row>
    <row r="60" spans="2:6" ht="14.25" customHeight="1" x14ac:dyDescent="0.2">
      <c r="B60" s="42" t="s">
        <v>98</v>
      </c>
      <c r="C60" s="37" t="s">
        <v>99</v>
      </c>
      <c r="D60" s="20" t="s">
        <v>100</v>
      </c>
      <c r="E60" s="30">
        <v>2255000</v>
      </c>
      <c r="F60" s="47">
        <v>1925000</v>
      </c>
    </row>
    <row r="61" spans="2:6" ht="14.25" customHeight="1" x14ac:dyDescent="0.2">
      <c r="B61" s="42" t="s">
        <v>114</v>
      </c>
      <c r="C61" s="37" t="s">
        <v>116</v>
      </c>
      <c r="D61" s="20" t="s">
        <v>115</v>
      </c>
      <c r="E61" s="30">
        <v>2795000</v>
      </c>
      <c r="F61" s="47">
        <v>2385000</v>
      </c>
    </row>
    <row r="62" spans="2:6" ht="15" customHeight="1" x14ac:dyDescent="0.2">
      <c r="B62" s="42" t="s">
        <v>59</v>
      </c>
      <c r="C62" s="36">
        <v>62500113900</v>
      </c>
      <c r="D62" s="20" t="s">
        <v>20</v>
      </c>
      <c r="E62" s="30">
        <v>4815000</v>
      </c>
      <c r="F62" s="47">
        <v>4110000</v>
      </c>
    </row>
    <row r="63" spans="2:6" ht="15" customHeight="1" x14ac:dyDescent="0.2">
      <c r="B63" s="42" t="s">
        <v>95</v>
      </c>
      <c r="C63" s="36">
        <v>62510113900</v>
      </c>
      <c r="D63" s="20" t="s">
        <v>21</v>
      </c>
      <c r="E63" s="30">
        <v>7000000</v>
      </c>
      <c r="F63" s="47">
        <v>5970000</v>
      </c>
    </row>
  </sheetData>
  <sortState xmlns:xlrd2="http://schemas.microsoft.com/office/spreadsheetml/2017/richdata2" ref="D20:F32">
    <sortCondition ref="E20:E32"/>
  </sortState>
  <dataConsolidate/>
  <phoneticPr fontId="0" type="noConversion"/>
  <pageMargins left="0.11811023622047245" right="0.19685039370078741" top="0" bottom="0" header="0.31496062992125984" footer="0.31496062992125984"/>
  <pageSetup scale="90" orientation="portrait" horizontalDpi="360" verticalDpi="360" r:id="rId1"/>
  <headerFooter alignWithMargins="0"/>
  <ignoredErrors>
    <ignoredError sqref="C13 C22 C29 C50 C2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345F-F903-41BF-81F1-9A0171676508}">
  <dimension ref="A1:C34"/>
  <sheetViews>
    <sheetView workbookViewId="0">
      <selection activeCell="B25" sqref="B25"/>
    </sheetView>
  </sheetViews>
  <sheetFormatPr baseColWidth="10" defaultRowHeight="12.75" x14ac:dyDescent="0.2"/>
  <sheetData>
    <row r="1" spans="1:3" x14ac:dyDescent="0.2">
      <c r="A1" s="14" t="s">
        <v>7</v>
      </c>
      <c r="B1" s="14" t="s">
        <v>8</v>
      </c>
      <c r="C1" s="3" t="s">
        <v>9</v>
      </c>
    </row>
    <row r="2" spans="1:3" x14ac:dyDescent="0.2">
      <c r="A2" s="15">
        <v>595000</v>
      </c>
      <c r="B2" s="15">
        <v>695000</v>
      </c>
      <c r="C2" s="4">
        <v>555000</v>
      </c>
    </row>
    <row r="3" spans="1:3" x14ac:dyDescent="0.2">
      <c r="A3" s="15">
        <v>700000</v>
      </c>
      <c r="B3" s="15">
        <v>820000</v>
      </c>
      <c r="C3" s="4">
        <v>650000</v>
      </c>
    </row>
    <row r="4" spans="1:3" x14ac:dyDescent="0.2">
      <c r="A4" s="15">
        <v>815000</v>
      </c>
      <c r="B4" s="15">
        <v>955000</v>
      </c>
      <c r="C4" s="4">
        <v>760000</v>
      </c>
    </row>
    <row r="5" spans="1:3" x14ac:dyDescent="0.2">
      <c r="A5" s="15">
        <v>1075000</v>
      </c>
      <c r="B5" s="15">
        <v>1260000</v>
      </c>
      <c r="C5" s="4">
        <v>1005000</v>
      </c>
    </row>
    <row r="6" spans="1:3" x14ac:dyDescent="0.2">
      <c r="A6" s="15">
        <v>1220000</v>
      </c>
      <c r="B6" s="15">
        <v>1430000</v>
      </c>
      <c r="C6" s="4">
        <v>1140000</v>
      </c>
    </row>
    <row r="7" spans="1:3" x14ac:dyDescent="0.2">
      <c r="A7" s="15" t="e">
        <f>'STIHL MAQUINAS'!#REF!*0.68*1.19/0.82</f>
        <v>#REF!</v>
      </c>
      <c r="B7" s="15" t="e">
        <f>'STIHL MAQUINAS'!#REF!*0.68*1.19/0.7</f>
        <v>#REF!</v>
      </c>
      <c r="C7" s="4" t="e">
        <f>'STIHL MAQUINAS'!#REF!*0.68*1.19/0.88</f>
        <v>#REF!</v>
      </c>
    </row>
    <row r="8" spans="1:3" x14ac:dyDescent="0.2">
      <c r="A8" s="15">
        <v>2290000</v>
      </c>
      <c r="B8" s="15">
        <v>2680000</v>
      </c>
      <c r="C8" s="4">
        <v>2130000</v>
      </c>
    </row>
    <row r="9" spans="1:3" x14ac:dyDescent="0.2">
      <c r="A9" s="15">
        <v>3335000</v>
      </c>
      <c r="B9" s="15">
        <v>3905000</v>
      </c>
      <c r="C9" s="4">
        <v>3105000</v>
      </c>
    </row>
    <row r="10" spans="1:3" x14ac:dyDescent="0.2">
      <c r="A10" s="15">
        <v>695000</v>
      </c>
      <c r="B10" s="15">
        <v>815000</v>
      </c>
      <c r="C10" s="4">
        <v>650000</v>
      </c>
    </row>
    <row r="11" spans="1:3" x14ac:dyDescent="0.2">
      <c r="A11" s="15">
        <v>1190000</v>
      </c>
      <c r="B11" s="15">
        <v>1390000</v>
      </c>
      <c r="C11" s="4" t="e">
        <f>'STIHL MAQUINAS'!#REF!*0.68*1.19/0.88</f>
        <v>#REF!</v>
      </c>
    </row>
    <row r="12" spans="1:3" x14ac:dyDescent="0.2">
      <c r="A12" s="15">
        <v>1610000</v>
      </c>
      <c r="B12" s="15">
        <v>1885000</v>
      </c>
      <c r="C12" s="4">
        <v>1500000</v>
      </c>
    </row>
    <row r="13" spans="1:3" x14ac:dyDescent="0.2">
      <c r="A13" s="15">
        <v>1660000</v>
      </c>
      <c r="B13" s="15">
        <v>1945000</v>
      </c>
      <c r="C13" s="4">
        <v>1550000</v>
      </c>
    </row>
    <row r="14" spans="1:3" x14ac:dyDescent="0.2">
      <c r="A14" s="15">
        <v>1335000</v>
      </c>
      <c r="B14" s="15">
        <v>1560000</v>
      </c>
      <c r="C14" s="4">
        <v>1245000</v>
      </c>
    </row>
    <row r="15" spans="1:3" x14ac:dyDescent="0.2">
      <c r="A15" s="15">
        <v>1765000</v>
      </c>
      <c r="B15" s="15">
        <v>2070000</v>
      </c>
      <c r="C15" s="4">
        <v>1645000</v>
      </c>
    </row>
    <row r="16" spans="1:3" x14ac:dyDescent="0.2">
      <c r="A16" s="15">
        <v>2105000</v>
      </c>
      <c r="B16" s="15">
        <v>2465000</v>
      </c>
      <c r="C16" s="4">
        <v>1960000</v>
      </c>
    </row>
    <row r="17" spans="1:3" x14ac:dyDescent="0.2">
      <c r="A17" s="15" t="e">
        <f>'STIHL MAQUINAS'!#REF!*0.68*1.19/0.82</f>
        <v>#REF!</v>
      </c>
      <c r="B17" s="15" t="e">
        <f>'STIHL MAQUINAS'!#REF!*0.68*1.19/0.7</f>
        <v>#REF!</v>
      </c>
      <c r="C17" s="4" t="e">
        <f>'STIHL MAQUINAS'!#REF!*0.68*1.19/0.88</f>
        <v>#REF!</v>
      </c>
    </row>
    <row r="18" spans="1:3" x14ac:dyDescent="0.2">
      <c r="A18" s="15">
        <v>1680000</v>
      </c>
      <c r="B18" s="15">
        <v>1965000</v>
      </c>
      <c r="C18" s="4">
        <v>1565000</v>
      </c>
    </row>
    <row r="19" spans="1:3" x14ac:dyDescent="0.2">
      <c r="A19" s="15" t="e">
        <f>'STIHL MAQUINAS'!#REF!*0.68*1.19/0.82</f>
        <v>#REF!</v>
      </c>
      <c r="B19" s="15" t="e">
        <f>'STIHL MAQUINAS'!#REF!*0.68*1.19/0.7</f>
        <v>#REF!</v>
      </c>
      <c r="C19" s="4" t="e">
        <f>'STIHL MAQUINAS'!#REF!*0.68*1.19/0.88</f>
        <v>#REF!</v>
      </c>
    </row>
    <row r="20" spans="1:3" x14ac:dyDescent="0.2">
      <c r="A20" s="15">
        <v>1680000</v>
      </c>
      <c r="B20" s="15">
        <v>1965000</v>
      </c>
      <c r="C20" s="4">
        <v>1565000</v>
      </c>
    </row>
    <row r="21" spans="1:3" x14ac:dyDescent="0.2">
      <c r="A21" s="15">
        <v>1875000</v>
      </c>
      <c r="B21" s="15">
        <v>2195000</v>
      </c>
      <c r="C21" s="4">
        <v>1745000</v>
      </c>
    </row>
    <row r="22" spans="1:3" x14ac:dyDescent="0.2">
      <c r="A22" s="15" t="e">
        <f>'STIHL MAQUINAS'!#REF!*0.68*1.19/0.82</f>
        <v>#REF!</v>
      </c>
      <c r="B22" s="15">
        <v>2240000</v>
      </c>
      <c r="C22" s="4">
        <v>1785000</v>
      </c>
    </row>
    <row r="23" spans="1:3" x14ac:dyDescent="0.2">
      <c r="A23" s="15">
        <v>2160000</v>
      </c>
      <c r="B23" s="15">
        <v>2530000</v>
      </c>
      <c r="C23" s="4">
        <v>2010000</v>
      </c>
    </row>
    <row r="24" spans="1:3" x14ac:dyDescent="0.2">
      <c r="A24" s="15">
        <v>945000</v>
      </c>
      <c r="B24" s="15">
        <v>1105000</v>
      </c>
      <c r="C24" s="4">
        <v>880000</v>
      </c>
    </row>
    <row r="25" spans="1:3" x14ac:dyDescent="0.2">
      <c r="A25" s="15">
        <v>2205000</v>
      </c>
      <c r="B25" s="15">
        <v>2585000</v>
      </c>
      <c r="C25" s="4">
        <v>2055000</v>
      </c>
    </row>
    <row r="26" spans="1:3" x14ac:dyDescent="0.2">
      <c r="A26" s="15">
        <v>1420000</v>
      </c>
      <c r="B26" s="15">
        <v>1665000</v>
      </c>
      <c r="C26" s="4">
        <v>1325000</v>
      </c>
    </row>
    <row r="27" spans="1:3" x14ac:dyDescent="0.2">
      <c r="A27" s="15">
        <v>2320000</v>
      </c>
      <c r="B27" s="15">
        <v>2715000</v>
      </c>
      <c r="C27" s="4">
        <v>2160000</v>
      </c>
    </row>
    <row r="28" spans="1:3" x14ac:dyDescent="0.2">
      <c r="A28" s="15">
        <v>825000</v>
      </c>
      <c r="B28" s="15">
        <v>965000</v>
      </c>
      <c r="C28" s="4" t="e">
        <f>'STIHL MAQUINAS'!#REF!*0.68*1.19/0.88</f>
        <v>#REF!</v>
      </c>
    </row>
    <row r="29" spans="1:3" x14ac:dyDescent="0.2">
      <c r="A29" s="15">
        <v>440000</v>
      </c>
      <c r="B29" s="15">
        <v>515000</v>
      </c>
      <c r="C29" s="4">
        <v>410000</v>
      </c>
    </row>
    <row r="30" spans="1:3" x14ac:dyDescent="0.2">
      <c r="A30" s="15" t="e">
        <f>'STIHL MAQUINAS'!#REF!*0.68*1.19/0.82</f>
        <v>#REF!</v>
      </c>
      <c r="B30" s="15" t="e">
        <f>'STIHL MAQUINAS'!#REF!*0.68*1.19/0.7</f>
        <v>#REF!</v>
      </c>
      <c r="C30" s="4" t="e">
        <f>'STIHL MAQUINAS'!#REF!*0.68*1.19/0.88</f>
        <v>#REF!</v>
      </c>
    </row>
    <row r="31" spans="1:3" x14ac:dyDescent="0.2">
      <c r="A31" s="15" t="e">
        <f>'STIHL MAQUINAS'!#REF!*0.68*1.19/0.82</f>
        <v>#REF!</v>
      </c>
      <c r="B31" s="15" t="e">
        <f>'STIHL MAQUINAS'!#REF!*0.68*1.19/0.7</f>
        <v>#REF!</v>
      </c>
      <c r="C31" s="4" t="e">
        <f>'STIHL MAQUINAS'!#REF!*0.68*1.19/0.88</f>
        <v>#REF!</v>
      </c>
    </row>
    <row r="32" spans="1:3" x14ac:dyDescent="0.2">
      <c r="A32" s="15">
        <v>780000</v>
      </c>
      <c r="B32" s="15">
        <v>910000</v>
      </c>
      <c r="C32" s="4">
        <v>725000</v>
      </c>
    </row>
    <row r="33" spans="1:3" x14ac:dyDescent="0.2">
      <c r="A33" s="15" t="e">
        <f>'STIHL MAQUINAS'!#REF!*0.68*1.19/0.82</f>
        <v>#REF!</v>
      </c>
      <c r="B33" s="15" t="e">
        <f>'STIHL MAQUINAS'!#REF!*0.68*1.19/0.7</f>
        <v>#REF!</v>
      </c>
      <c r="C33" s="4" t="e">
        <f>'STIHL MAQUINAS'!#REF!*0.68*1.19/0.88</f>
        <v>#REF!</v>
      </c>
    </row>
    <row r="34" spans="1:3" x14ac:dyDescent="0.2">
      <c r="A34" s="15" t="e">
        <f>'STIHL MAQUINAS'!#REF!*0.68*1.19/0.82</f>
        <v>#REF!</v>
      </c>
      <c r="B34" s="15" t="e">
        <f>'STIHL MAQUINAS'!#REF!*0.68*1.19/0.7</f>
        <v>#REF!</v>
      </c>
      <c r="C34" s="4" t="e">
        <f>'STIHL MAQUINAS'!#REF!*0.68*1.19/0.88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STIHL MAQUINAS</vt:lpstr>
      <vt:lpstr>Hoja1</vt:lpstr>
    </vt:vector>
  </TitlesOfParts>
  <Company>CEVECO LTDA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CEVECO LTDA</dc:creator>
  <cp:lastModifiedBy>GARANTIAS</cp:lastModifiedBy>
  <cp:lastPrinted>2025-11-18T15:58:54Z</cp:lastPrinted>
  <dcterms:created xsi:type="dcterms:W3CDTF">2005-01-25T08:06:48Z</dcterms:created>
  <dcterms:modified xsi:type="dcterms:W3CDTF">2025-11-18T15:59:10Z</dcterms:modified>
</cp:coreProperties>
</file>